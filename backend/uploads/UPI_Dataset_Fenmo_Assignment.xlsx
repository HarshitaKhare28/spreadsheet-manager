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A8CB5091-B9E1-4426-BB70-3FF80279F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efinitions" sheetId="2" r:id="rId2"/>
    <sheet name="Errors_Recommend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<sst xmlns="http://schemas.openxmlformats.org/spreadsheetml/2006/main" count="433" uniqueCount="134">
  <si>
    <t>Transaction_ID</t>
  </si>
  <si>
    <t>User_ID</t>
  </si>
  <si>
    <t>Amount</t>
  </si>
  <si>
    <t>Date</t>
  </si>
  <si>
    <t>Time</t>
  </si>
  <si>
    <t>Status</t>
  </si>
  <si>
    <t>Payment_Method</t>
  </si>
  <si>
    <t>Category</t>
  </si>
  <si>
    <t>Device_Type</t>
  </si>
  <si>
    <t>Bank_Name</t>
  </si>
  <si>
    <t>Location</t>
  </si>
  <si>
    <t>Cashback_Amount</t>
  </si>
  <si>
    <t>Processing_Time</t>
  </si>
  <si>
    <t>02:02:32</t>
  </si>
  <si>
    <t>08:40:45</t>
  </si>
  <si>
    <t>20:48:28</t>
  </si>
  <si>
    <t>09:33:56</t>
  </si>
  <si>
    <t>10:30:18</t>
  </si>
  <si>
    <t>06:35:19</t>
  </si>
  <si>
    <t>12:32:41</t>
  </si>
  <si>
    <t>08:08:05</t>
  </si>
  <si>
    <t>22:52:25</t>
  </si>
  <si>
    <t>00:33:49</t>
  </si>
  <si>
    <t>18:57:05</t>
  </si>
  <si>
    <t>22:34:49</t>
  </si>
  <si>
    <t>05:15:01</t>
  </si>
  <si>
    <t>09:41:39</t>
  </si>
  <si>
    <t>20:29:10</t>
  </si>
  <si>
    <t>22:58:50</t>
  </si>
  <si>
    <t>03:10:19</t>
  </si>
  <si>
    <t>09:40:43</t>
  </si>
  <si>
    <t>20:21:33</t>
  </si>
  <si>
    <t>15:00:49</t>
  </si>
  <si>
    <t>17:20:55</t>
  </si>
  <si>
    <t>19:14:59</t>
  </si>
  <si>
    <t>12:53:26</t>
  </si>
  <si>
    <t>16:24:48</t>
  </si>
  <si>
    <t>17:33:28</t>
  </si>
  <si>
    <t>11:40:59</t>
  </si>
  <si>
    <t>02:25:41</t>
  </si>
  <si>
    <t>12:03:13</t>
  </si>
  <si>
    <t>08:20:26</t>
  </si>
  <si>
    <t>01:41:10</t>
  </si>
  <si>
    <t>09:35:58</t>
  </si>
  <si>
    <t>20:22:14</t>
  </si>
  <si>
    <t>12:01:45</t>
  </si>
  <si>
    <t>08:59:10</t>
  </si>
  <si>
    <t>04:31:18</t>
  </si>
  <si>
    <t>19:45:26</t>
  </si>
  <si>
    <t>03:05:00</t>
  </si>
  <si>
    <t>20:53:11</t>
  </si>
  <si>
    <t>20:20:19</t>
  </si>
  <si>
    <t>19:50:39</t>
  </si>
  <si>
    <t>23:35:34</t>
  </si>
  <si>
    <t>08:10:05</t>
  </si>
  <si>
    <t>14:06:30</t>
  </si>
  <si>
    <t>21:24:12</t>
  </si>
  <si>
    <t>02:19:05</t>
  </si>
  <si>
    <t>19:02:28</t>
  </si>
  <si>
    <t>01:31:16</t>
  </si>
  <si>
    <t>10:30:36</t>
  </si>
  <si>
    <t>23:32:57</t>
  </si>
  <si>
    <t>18:50:34</t>
  </si>
  <si>
    <t>Success</t>
  </si>
  <si>
    <t>Pending</t>
  </si>
  <si>
    <t>Failed</t>
  </si>
  <si>
    <t>Bank Transfer</t>
  </si>
  <si>
    <t>UPI ID</t>
  </si>
  <si>
    <t>QR Code</t>
  </si>
  <si>
    <t>Mobile Number</t>
  </si>
  <si>
    <t>Transfer</t>
  </si>
  <si>
    <t>Travel</t>
  </si>
  <si>
    <t>Bills</t>
  </si>
  <si>
    <t>Food</t>
  </si>
  <si>
    <t>Shopping</t>
  </si>
  <si>
    <t>Recharge</t>
  </si>
  <si>
    <t>Android</t>
  </si>
  <si>
    <t>iOS</t>
  </si>
  <si>
    <t>HDFC</t>
  </si>
  <si>
    <t>SBI</t>
  </si>
  <si>
    <t>PNB</t>
  </si>
  <si>
    <t>Kotak</t>
  </si>
  <si>
    <t>ICICI</t>
  </si>
  <si>
    <t>Axis</t>
  </si>
  <si>
    <t>Kolkata</t>
  </si>
  <si>
    <t>Mumbai</t>
  </si>
  <si>
    <t>Bangalore</t>
  </si>
  <si>
    <t>Delhi</t>
  </si>
  <si>
    <t>Pune</t>
  </si>
  <si>
    <t>Hyderabad</t>
  </si>
  <si>
    <t>Chennai</t>
  </si>
  <si>
    <t>Field Name</t>
  </si>
  <si>
    <t>Significance</t>
  </si>
  <si>
    <t>Unique transaction identifier</t>
  </si>
  <si>
    <t>Unique user identifier</t>
  </si>
  <si>
    <t>Amount of payment made</t>
  </si>
  <si>
    <t>Date of transaction</t>
  </si>
  <si>
    <t>Time of transaction</t>
  </si>
  <si>
    <t>Status of transaction</t>
  </si>
  <si>
    <t>Mode of UPI payment used</t>
  </si>
  <si>
    <t>Purpose of transaction</t>
  </si>
  <si>
    <t>Device type used for transaction</t>
  </si>
  <si>
    <t>Bank associated with transaction</t>
  </si>
  <si>
    <t>User location at transaction</t>
  </si>
  <si>
    <t>Cashback earned from transaction</t>
  </si>
  <si>
    <t>Time taken to process transaction</t>
  </si>
  <si>
    <t>Possible Errors</t>
  </si>
  <si>
    <t>Recommendations</t>
  </si>
  <si>
    <t>Duplicate IDs, missing IDs, inconsistent formats</t>
  </si>
  <si>
    <t>Duplicate users, missing IDs, inconsistent patterns</t>
  </si>
  <si>
    <t>Negative values, unrealistic high amounts, currency mismatch</t>
  </si>
  <si>
    <t>Invalid dates, future dates, missing values</t>
  </si>
  <si>
    <t>Impossible times, incorrect format, missing time</t>
  </si>
  <si>
    <t>Contradictions with amount, missing statuses, invalid values</t>
  </si>
  <si>
    <t>Unsupported method, null entries, mismatch with category</t>
  </si>
  <si>
    <t>Wrong category, missing data, misclassified purpose</t>
  </si>
  <si>
    <t>Missing device info, inconsistent naming, invalid type</t>
  </si>
  <si>
    <t>Invalid bank names, missing info, spelling variations</t>
  </si>
  <si>
    <t>Incorrect city, missing info, GPS mismatch</t>
  </si>
  <si>
    <t>Cashback mismatch, missing value, wrong calculation</t>
  </si>
  <si>
    <t>Impossible time, missing value, inconsistent with status</t>
  </si>
  <si>
    <t>Use UUIDs, add validation rules, enforce unique constraint</t>
  </si>
  <si>
    <t>Auto-generate IDs, enforce pattern validation, remove duplicates</t>
  </si>
  <si>
    <t>Set range checks, validate currency, cap max amount</t>
  </si>
  <si>
    <t>Restrict future dates, use date-picker, add default value</t>
  </si>
  <si>
    <t>Validate format (HH:MM:SS), auto-log server time, non-null check</t>
  </si>
  <si>
    <t>Create enum validation, status sync with logs, default fallback</t>
  </si>
  <si>
    <t>Restrict dropdown, validate combos, add audit checks</t>
  </si>
  <si>
    <t>Use controlled vocabulary, add mapping table, validate purpose</t>
  </si>
  <si>
    <t>Limit options, validate user-agent, auto-detect device</t>
  </si>
  <si>
    <t>Dropdown from master list, validate bank code, enforce mapping</t>
  </si>
  <si>
    <t>Auto-fetch GPS, dropdown list, validate region name</t>
  </si>
  <si>
    <t>Recalculate cashback server-side, use triggers, audit logs</t>
  </si>
  <si>
    <t>Set min/max limits, auto-capture timestamps, check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</si>
</sst>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G13" sqref="G13"/>
    </sheetView>
  </sheetViews>
  <sheetFormatPr defaultRowHeight="14.4" x14ac:dyDescent="0.3"/>
  <cols>
    <col min="1" max="1" width="18.5546875" customWidth="1"/>
    <col min="2" max="2" width="13.33203125" customWidth="1"/>
    <col min="3" max="3" width="9.109375" customWidth="1"/>
    <col min="4" max="4" width="12.5546875" customWidth="1"/>
    <col min="7" max="7" width="16.21875" customWidth="1"/>
    <col min="9" max="9" width="12.88671875" customWidth="1"/>
    <col min="10" max="10" width="11.44140625" customWidth="1"/>
    <col min="11" max="11" width="10.6640625" customWidth="1"/>
    <col min="12" max="12" width="16.88671875" customWidth="1"/>
    <col min="13" max="13" width="17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430316204</v>
      </c>
      <c r="B2" t="str">
        <f ca="1">"U"&amp;RANDBETWEEN(100000000,999999999)</f>
        <v>U950437099</v>
      </c>
      <c r="C2">
        <v>3264.59</v>
      </c>
      <c r="D2" s="2">
        <v>45743</v>
      </c>
      <c r="E2" t="s">
        <v>13</v>
      </c>
      <c r="F2" t="s">
        <v>63</v>
      </c>
      <c r="G2" t="s">
        <v>66</v>
      </c>
      <c r="H2" t="s">
        <v>70</v>
      </c>
      <c r="I2" t="s">
        <v>76</v>
      </c>
      <c r="J2" t="s">
        <v>78</v>
      </c>
      <c r="K2" t="s">
        <v>84</v>
      </c>
      <c r="L2">
        <v>62.49</v>
      </c>
      <c r="M2">
        <v>2.3199999999999998</v>
      </c>
    </row>
    <row r="3" spans="1:13" x14ac:dyDescent="0.3">
      <c r="A3" s="3">
        <v>430316165</v>
      </c>
      <c r="B3" t="str">
        <f t="shared" ref="B3:B51" ca="1" si="0">"U"&amp;RANDBETWEEN(100000000,999999999)</f>
        <v>U704497232</v>
      </c>
      <c r="C3">
        <v>264.70999999999998</v>
      </c>
      <c r="D3" s="2">
        <v>45673</v>
      </c>
      <c r="E3" t="s">
        <v>14</v>
      </c>
      <c r="F3" t="s">
        <v>64</v>
      </c>
      <c r="G3" t="s">
        <v>67</v>
      </c>
      <c r="H3" t="s">
        <v>70</v>
      </c>
      <c r="I3" t="s">
        <v>77</v>
      </c>
      <c r="J3" t="s">
        <v>79</v>
      </c>
      <c r="K3" t="s">
        <v>84</v>
      </c>
      <c r="L3">
        <v>0</v>
      </c>
      <c r="M3">
        <v>4.88</v>
      </c>
    </row>
    <row r="4" spans="1:13" x14ac:dyDescent="0.3">
      <c r="A4" s="3">
        <v>430316190</v>
      </c>
      <c r="B4" t="str">
        <f t="shared" ca="1" si="0"/>
        <v>U838880728</v>
      </c>
      <c r="C4">
        <v>46.48</v>
      </c>
      <c r="D4" s="2">
        <v>45718</v>
      </c>
      <c r="E4" t="s">
        <v>15</v>
      </c>
      <c r="F4" t="s">
        <v>64</v>
      </c>
      <c r="G4" t="s">
        <v>68</v>
      </c>
      <c r="H4" t="s">
        <v>71</v>
      </c>
      <c r="I4" t="s">
        <v>76</v>
      </c>
      <c r="J4" t="s">
        <v>80</v>
      </c>
      <c r="K4" t="s">
        <v>85</v>
      </c>
      <c r="L4">
        <v>0</v>
      </c>
      <c r="M4">
        <v>2.0499999999999998</v>
      </c>
    </row>
    <row r="5" spans="1:13" x14ac:dyDescent="0.3">
      <c r="A5" s="3">
        <v>430316382</v>
      </c>
      <c r="B5" t="str">
        <f t="shared" ca="1" si="0"/>
        <v>U699975051</v>
      </c>
      <c r="C5">
        <v>3165.75</v>
      </c>
      <c r="D5" s="2">
        <v>45704</v>
      </c>
      <c r="E5" t="s">
        <v>16</v>
      </c>
      <c r="F5" t="s">
        <v>65</v>
      </c>
      <c r="G5" t="s">
        <v>67</v>
      </c>
      <c r="H5" t="s">
        <v>72</v>
      </c>
      <c r="I5" t="s">
        <v>76</v>
      </c>
      <c r="J5" t="s">
        <v>79</v>
      </c>
      <c r="K5" t="s">
        <v>86</v>
      </c>
      <c r="L5">
        <v>0</v>
      </c>
      <c r="M5">
        <v>2.33</v>
      </c>
    </row>
    <row r="6" spans="1:13" x14ac:dyDescent="0.3">
      <c r="A6" s="3">
        <v>430316104</v>
      </c>
      <c r="B6" t="str">
        <f t="shared" ca="1" si="0"/>
        <v>U819788418</v>
      </c>
      <c r="C6">
        <v>2075.2600000000002</v>
      </c>
      <c r="D6" s="2">
        <v>45676</v>
      </c>
      <c r="E6" t="s">
        <v>17</v>
      </c>
      <c r="F6" t="s">
        <v>63</v>
      </c>
      <c r="G6" t="s">
        <v>69</v>
      </c>
      <c r="H6" t="s">
        <v>72</v>
      </c>
      <c r="I6" t="s">
        <v>76</v>
      </c>
      <c r="J6" t="s">
        <v>80</v>
      </c>
      <c r="K6" t="s">
        <v>87</v>
      </c>
      <c r="L6">
        <v>43.85</v>
      </c>
      <c r="M6">
        <v>2.86</v>
      </c>
    </row>
    <row r="7" spans="1:13" x14ac:dyDescent="0.3">
      <c r="A7" s="3">
        <v>430316399</v>
      </c>
      <c r="B7" t="str">
        <f t="shared" ca="1" si="0"/>
        <v>U494704685</v>
      </c>
      <c r="C7">
        <v>4617.71</v>
      </c>
      <c r="D7" s="2">
        <v>45745</v>
      </c>
      <c r="E7" t="s">
        <v>18</v>
      </c>
      <c r="F7" t="s">
        <v>64</v>
      </c>
      <c r="G7" t="s">
        <v>67</v>
      </c>
      <c r="H7" t="s">
        <v>72</v>
      </c>
      <c r="I7" t="s">
        <v>77</v>
      </c>
      <c r="J7" t="s">
        <v>79</v>
      </c>
      <c r="K7" t="s">
        <v>88</v>
      </c>
      <c r="L7">
        <v>0</v>
      </c>
      <c r="M7">
        <v>3.35</v>
      </c>
    </row>
    <row r="8" spans="1:13" x14ac:dyDescent="0.3">
      <c r="A8" s="3">
        <v>430317003</v>
      </c>
      <c r="B8" t="str">
        <f t="shared" ca="1" si="0"/>
        <v>U106676330</v>
      </c>
      <c r="C8">
        <v>51.44</v>
      </c>
      <c r="D8" s="2">
        <v>45665</v>
      </c>
      <c r="E8" t="s">
        <v>19</v>
      </c>
      <c r="F8" t="s">
        <v>63</v>
      </c>
      <c r="G8" t="s">
        <v>69</v>
      </c>
      <c r="H8" t="s">
        <v>70</v>
      </c>
      <c r="I8" t="s">
        <v>76</v>
      </c>
      <c r="J8" t="s">
        <v>78</v>
      </c>
      <c r="K8" t="s">
        <v>89</v>
      </c>
      <c r="L8">
        <v>1.35</v>
      </c>
      <c r="M8">
        <v>0.8</v>
      </c>
    </row>
    <row r="9" spans="1:13" x14ac:dyDescent="0.3">
      <c r="A9" s="3">
        <v>430316469</v>
      </c>
      <c r="B9" t="str">
        <f t="shared" ca="1" si="0"/>
        <v>U181826674</v>
      </c>
      <c r="C9">
        <v>2308.11</v>
      </c>
      <c r="D9" s="2">
        <v>45671</v>
      </c>
      <c r="E9" t="s">
        <v>20</v>
      </c>
      <c r="F9" t="s">
        <v>63</v>
      </c>
      <c r="G9" t="s">
        <v>68</v>
      </c>
      <c r="H9" t="s">
        <v>73</v>
      </c>
      <c r="I9" t="s">
        <v>77</v>
      </c>
      <c r="J9" t="s">
        <v>81</v>
      </c>
      <c r="K9" t="s">
        <v>89</v>
      </c>
      <c r="L9">
        <v>18.05</v>
      </c>
      <c r="M9">
        <v>2.91</v>
      </c>
    </row>
    <row r="10" spans="1:13" x14ac:dyDescent="0.3">
      <c r="A10" s="3">
        <v>430316746</v>
      </c>
      <c r="B10" t="str">
        <f t="shared" ca="1" si="0"/>
        <v>U315756008</v>
      </c>
      <c r="C10">
        <v>3923.89</v>
      </c>
      <c r="D10" s="2">
        <v>45729</v>
      </c>
      <c r="E10" t="s">
        <v>21</v>
      </c>
      <c r="F10" t="s">
        <v>64</v>
      </c>
      <c r="G10" t="s">
        <v>66</v>
      </c>
      <c r="H10" t="s">
        <v>70</v>
      </c>
      <c r="I10" t="s">
        <v>77</v>
      </c>
      <c r="J10" t="s">
        <v>82</v>
      </c>
      <c r="K10" t="s">
        <v>90</v>
      </c>
      <c r="L10">
        <v>0</v>
      </c>
      <c r="M10">
        <v>4.42</v>
      </c>
    </row>
    <row r="11" spans="1:13" x14ac:dyDescent="0.3">
      <c r="A11" s="3">
        <v>430316529</v>
      </c>
      <c r="B11" t="str">
        <f t="shared" ca="1" si="0"/>
        <v>U417847126</v>
      </c>
      <c r="C11">
        <v>2248.06</v>
      </c>
      <c r="D11" s="2">
        <v>45740</v>
      </c>
      <c r="E11" t="s">
        <v>22</v>
      </c>
      <c r="F11" t="s">
        <v>64</v>
      </c>
      <c r="G11" t="s">
        <v>67</v>
      </c>
      <c r="H11" t="s">
        <v>74</v>
      </c>
      <c r="I11" t="s">
        <v>76</v>
      </c>
      <c r="J11" t="s">
        <v>79</v>
      </c>
      <c r="K11" t="s">
        <v>88</v>
      </c>
      <c r="L11">
        <v>0</v>
      </c>
      <c r="M11">
        <v>3.41</v>
      </c>
    </row>
    <row r="12" spans="1:13" x14ac:dyDescent="0.3">
      <c r="A12" s="3">
        <v>430316910</v>
      </c>
      <c r="B12" t="str">
        <f t="shared" ca="1" si="0"/>
        <v>U508664260</v>
      </c>
      <c r="C12">
        <v>2708.12</v>
      </c>
      <c r="D12" s="2">
        <v>45694</v>
      </c>
      <c r="E12" t="s">
        <v>23</v>
      </c>
      <c r="F12" t="s">
        <v>65</v>
      </c>
      <c r="G12" t="s">
        <v>69</v>
      </c>
      <c r="H12" t="s">
        <v>71</v>
      </c>
      <c r="I12" t="s">
        <v>76</v>
      </c>
      <c r="J12" t="s">
        <v>81</v>
      </c>
      <c r="K12" t="s">
        <v>87</v>
      </c>
      <c r="L12">
        <v>0</v>
      </c>
      <c r="M12">
        <v>2.79</v>
      </c>
    </row>
    <row r="13" spans="1:13" x14ac:dyDescent="0.3">
      <c r="A13" s="3">
        <v>430316210</v>
      </c>
      <c r="B13" t="str">
        <f t="shared" ca="1" si="0"/>
        <v>U351786246</v>
      </c>
      <c r="C13">
        <v>4110.22</v>
      </c>
      <c r="D13" s="2">
        <v>45702</v>
      </c>
      <c r="E13" t="s">
        <v>24</v>
      </c>
      <c r="F13" t="s">
        <v>64</v>
      </c>
      <c r="G13" t="s">
        <v>66</v>
      </c>
      <c r="H13" t="s">
        <v>75</v>
      </c>
      <c r="I13" t="s">
        <v>76</v>
      </c>
      <c r="J13" t="s">
        <v>78</v>
      </c>
      <c r="K13" t="s">
        <v>86</v>
      </c>
      <c r="L13">
        <v>0</v>
      </c>
      <c r="M13">
        <v>3.24</v>
      </c>
    </row>
    <row r="14" spans="1:13" x14ac:dyDescent="0.3">
      <c r="A14" s="3">
        <v>430316678</v>
      </c>
      <c r="B14" t="str">
        <f t="shared" ca="1" si="0"/>
        <v>U420677357</v>
      </c>
      <c r="C14">
        <v>1877.53</v>
      </c>
      <c r="D14" s="2">
        <v>45723</v>
      </c>
      <c r="E14" t="s">
        <v>25</v>
      </c>
      <c r="F14" t="s">
        <v>64</v>
      </c>
      <c r="G14" t="s">
        <v>69</v>
      </c>
      <c r="H14" t="s">
        <v>73</v>
      </c>
      <c r="I14" t="s">
        <v>76</v>
      </c>
      <c r="J14" t="s">
        <v>81</v>
      </c>
      <c r="K14" t="s">
        <v>86</v>
      </c>
      <c r="L14">
        <v>0</v>
      </c>
      <c r="M14">
        <v>0.81</v>
      </c>
    </row>
    <row r="15" spans="1:13" x14ac:dyDescent="0.3">
      <c r="A15" s="3">
        <v>430316419</v>
      </c>
      <c r="B15" t="str">
        <f t="shared" ca="1" si="0"/>
        <v>U159949950</v>
      </c>
      <c r="C15">
        <v>3465.57</v>
      </c>
      <c r="D15" s="2">
        <v>45711</v>
      </c>
      <c r="E15" t="s">
        <v>26</v>
      </c>
      <c r="F15" t="s">
        <v>65</v>
      </c>
      <c r="G15" t="s">
        <v>69</v>
      </c>
      <c r="H15" t="s">
        <v>72</v>
      </c>
      <c r="I15" t="s">
        <v>77</v>
      </c>
      <c r="J15" t="s">
        <v>80</v>
      </c>
      <c r="K15" t="s">
        <v>86</v>
      </c>
      <c r="L15">
        <v>0</v>
      </c>
      <c r="M15">
        <v>4.7699999999999996</v>
      </c>
    </row>
    <row r="16" spans="1:13" x14ac:dyDescent="0.3">
      <c r="A16" s="3">
        <v>430317126</v>
      </c>
      <c r="B16" t="str">
        <f t="shared" ca="1" si="0"/>
        <v>U433041773</v>
      </c>
      <c r="C16">
        <v>4467.17</v>
      </c>
      <c r="D16" s="2">
        <v>45736</v>
      </c>
      <c r="E16" t="s">
        <v>27</v>
      </c>
      <c r="F16" t="s">
        <v>65</v>
      </c>
      <c r="G16" t="s">
        <v>69</v>
      </c>
      <c r="H16" t="s">
        <v>71</v>
      </c>
      <c r="I16" t="s">
        <v>76</v>
      </c>
      <c r="J16" t="s">
        <v>81</v>
      </c>
      <c r="K16" t="s">
        <v>88</v>
      </c>
      <c r="L16">
        <v>0</v>
      </c>
      <c r="M16">
        <v>1.24</v>
      </c>
    </row>
    <row r="17" spans="1:13" x14ac:dyDescent="0.3">
      <c r="A17" s="3">
        <v>430316325</v>
      </c>
      <c r="B17" t="str">
        <f t="shared" ca="1" si="0"/>
        <v>U513161426</v>
      </c>
      <c r="C17">
        <v>3380.36</v>
      </c>
      <c r="D17" s="2">
        <v>45748</v>
      </c>
      <c r="E17" t="s">
        <v>28</v>
      </c>
      <c r="F17" t="s">
        <v>63</v>
      </c>
      <c r="G17" t="s">
        <v>67</v>
      </c>
      <c r="H17" t="s">
        <v>72</v>
      </c>
      <c r="I17" t="s">
        <v>76</v>
      </c>
      <c r="J17" t="s">
        <v>79</v>
      </c>
      <c r="K17" t="s">
        <v>88</v>
      </c>
      <c r="L17">
        <v>160.41999999999999</v>
      </c>
      <c r="M17">
        <v>1.96</v>
      </c>
    </row>
    <row r="18" spans="1:13" x14ac:dyDescent="0.3">
      <c r="A18" s="3">
        <v>430316100</v>
      </c>
      <c r="B18" t="str">
        <f t="shared" ca="1" si="0"/>
        <v>U206322046</v>
      </c>
      <c r="C18">
        <v>2681.76</v>
      </c>
      <c r="D18" s="2">
        <v>45684</v>
      </c>
      <c r="E18" t="s">
        <v>29</v>
      </c>
      <c r="F18" t="s">
        <v>64</v>
      </c>
      <c r="G18" t="s">
        <v>69</v>
      </c>
      <c r="H18" t="s">
        <v>72</v>
      </c>
      <c r="I18" t="s">
        <v>77</v>
      </c>
      <c r="J18" t="s">
        <v>79</v>
      </c>
      <c r="K18" t="s">
        <v>85</v>
      </c>
      <c r="L18">
        <v>0</v>
      </c>
      <c r="M18">
        <v>4.43</v>
      </c>
    </row>
    <row r="19" spans="1:13" x14ac:dyDescent="0.3">
      <c r="A19" s="3">
        <v>430316823</v>
      </c>
      <c r="B19" t="str">
        <f t="shared" ca="1" si="0"/>
        <v>U712672304</v>
      </c>
      <c r="C19">
        <v>4380.5</v>
      </c>
      <c r="D19" s="2">
        <v>45680</v>
      </c>
      <c r="E19" t="s">
        <v>30</v>
      </c>
      <c r="F19" t="s">
        <v>63</v>
      </c>
      <c r="G19" t="s">
        <v>69</v>
      </c>
      <c r="H19" t="s">
        <v>73</v>
      </c>
      <c r="I19" t="s">
        <v>77</v>
      </c>
      <c r="J19" t="s">
        <v>78</v>
      </c>
      <c r="K19" t="s">
        <v>87</v>
      </c>
      <c r="L19">
        <v>110.74</v>
      </c>
      <c r="M19">
        <v>4.34</v>
      </c>
    </row>
    <row r="20" spans="1:13" x14ac:dyDescent="0.3">
      <c r="A20" s="3">
        <v>430316551</v>
      </c>
      <c r="B20" t="str">
        <f t="shared" ca="1" si="0"/>
        <v>U782912421</v>
      </c>
      <c r="C20">
        <v>4899.54</v>
      </c>
      <c r="D20" s="2">
        <v>45715</v>
      </c>
      <c r="E20" t="s">
        <v>31</v>
      </c>
      <c r="F20" t="s">
        <v>64</v>
      </c>
      <c r="G20" t="s">
        <v>69</v>
      </c>
      <c r="H20" t="s">
        <v>70</v>
      </c>
      <c r="I20" t="s">
        <v>77</v>
      </c>
      <c r="J20" t="s">
        <v>82</v>
      </c>
      <c r="K20" t="s">
        <v>87</v>
      </c>
      <c r="L20">
        <v>0</v>
      </c>
      <c r="M20">
        <v>1.66</v>
      </c>
    </row>
    <row r="21" spans="1:13" x14ac:dyDescent="0.3">
      <c r="A21" s="3">
        <v>430316498</v>
      </c>
      <c r="B21" t="str">
        <f t="shared" ca="1" si="0"/>
        <v>U564177997</v>
      </c>
      <c r="C21">
        <v>3397.88</v>
      </c>
      <c r="D21" s="2">
        <v>45740</v>
      </c>
      <c r="E21" t="s">
        <v>32</v>
      </c>
      <c r="F21" t="s">
        <v>63</v>
      </c>
      <c r="G21" t="s">
        <v>67</v>
      </c>
      <c r="H21" t="s">
        <v>74</v>
      </c>
      <c r="I21" t="s">
        <v>76</v>
      </c>
      <c r="J21" t="s">
        <v>83</v>
      </c>
      <c r="K21" t="s">
        <v>87</v>
      </c>
      <c r="L21">
        <v>50.13</v>
      </c>
      <c r="M21">
        <v>4.22</v>
      </c>
    </row>
    <row r="22" spans="1:13" x14ac:dyDescent="0.3">
      <c r="A22" s="3">
        <v>430316243</v>
      </c>
      <c r="B22" t="str">
        <f t="shared" ca="1" si="0"/>
        <v>U540567548</v>
      </c>
      <c r="C22">
        <v>3429.62</v>
      </c>
      <c r="D22" s="2">
        <v>45744</v>
      </c>
      <c r="E22" t="s">
        <v>33</v>
      </c>
      <c r="F22" t="s">
        <v>64</v>
      </c>
      <c r="G22" t="s">
        <v>66</v>
      </c>
      <c r="H22" t="s">
        <v>70</v>
      </c>
      <c r="I22" t="s">
        <v>77</v>
      </c>
      <c r="J22" t="s">
        <v>80</v>
      </c>
      <c r="K22" t="s">
        <v>89</v>
      </c>
      <c r="L22">
        <v>0</v>
      </c>
      <c r="M22">
        <v>1.5</v>
      </c>
    </row>
    <row r="23" spans="1:13" x14ac:dyDescent="0.3">
      <c r="A23" s="3">
        <v>430317204</v>
      </c>
      <c r="B23" t="str">
        <f t="shared" ca="1" si="0"/>
        <v>U268319953</v>
      </c>
      <c r="C23">
        <v>3211.8</v>
      </c>
      <c r="D23" s="2">
        <v>45725</v>
      </c>
      <c r="E23" t="s">
        <v>34</v>
      </c>
      <c r="F23" t="s">
        <v>65</v>
      </c>
      <c r="G23" t="s">
        <v>67</v>
      </c>
      <c r="H23" t="s">
        <v>75</v>
      </c>
      <c r="I23" t="s">
        <v>76</v>
      </c>
      <c r="J23" t="s">
        <v>82</v>
      </c>
      <c r="K23" t="s">
        <v>90</v>
      </c>
      <c r="L23">
        <v>0</v>
      </c>
      <c r="M23">
        <v>3.01</v>
      </c>
    </row>
    <row r="24" spans="1:13" x14ac:dyDescent="0.3">
      <c r="A24" s="3">
        <v>430317145</v>
      </c>
      <c r="B24" t="str">
        <f t="shared" ca="1" si="0"/>
        <v>U623129332</v>
      </c>
      <c r="C24">
        <v>1562.19</v>
      </c>
      <c r="D24" s="2">
        <v>45693</v>
      </c>
      <c r="E24" t="s">
        <v>35</v>
      </c>
      <c r="F24" t="s">
        <v>65</v>
      </c>
      <c r="G24" t="s">
        <v>68</v>
      </c>
      <c r="H24" t="s">
        <v>72</v>
      </c>
      <c r="I24" t="s">
        <v>77</v>
      </c>
      <c r="J24" t="s">
        <v>79</v>
      </c>
      <c r="K24" t="s">
        <v>90</v>
      </c>
      <c r="L24">
        <v>0</v>
      </c>
      <c r="M24">
        <v>4.9000000000000004</v>
      </c>
    </row>
    <row r="25" spans="1:13" x14ac:dyDescent="0.3">
      <c r="A25" s="3">
        <v>430316947</v>
      </c>
      <c r="B25" t="str">
        <f t="shared" ca="1" si="0"/>
        <v>U770191436</v>
      </c>
      <c r="C25">
        <v>325.76</v>
      </c>
      <c r="D25" s="2">
        <v>45730</v>
      </c>
      <c r="E25" t="s">
        <v>36</v>
      </c>
      <c r="F25" t="s">
        <v>63</v>
      </c>
      <c r="G25" t="s">
        <v>68</v>
      </c>
      <c r="H25" t="s">
        <v>71</v>
      </c>
      <c r="I25" t="s">
        <v>77</v>
      </c>
      <c r="J25" t="s">
        <v>81</v>
      </c>
      <c r="K25" t="s">
        <v>86</v>
      </c>
      <c r="L25">
        <v>4.95</v>
      </c>
      <c r="M25">
        <v>2.65</v>
      </c>
    </row>
    <row r="26" spans="1:13" x14ac:dyDescent="0.3">
      <c r="A26" s="3">
        <v>430316521</v>
      </c>
      <c r="B26" t="str">
        <f t="shared" ca="1" si="0"/>
        <v>U593105553</v>
      </c>
      <c r="C26">
        <v>2687.6</v>
      </c>
      <c r="D26" s="2">
        <v>45698</v>
      </c>
      <c r="E26" t="s">
        <v>37</v>
      </c>
      <c r="F26" t="s">
        <v>65</v>
      </c>
      <c r="G26" t="s">
        <v>67</v>
      </c>
      <c r="H26" t="s">
        <v>72</v>
      </c>
      <c r="I26" t="s">
        <v>76</v>
      </c>
      <c r="J26" t="s">
        <v>82</v>
      </c>
      <c r="K26" t="s">
        <v>86</v>
      </c>
      <c r="L26">
        <v>0</v>
      </c>
      <c r="M26">
        <v>1.38</v>
      </c>
    </row>
    <row r="27" spans="1:13" x14ac:dyDescent="0.3">
      <c r="A27" s="3">
        <v>430316760</v>
      </c>
      <c r="B27" t="str">
        <f t="shared" ca="1" si="0"/>
        <v>U403553841</v>
      </c>
      <c r="C27">
        <v>378.3</v>
      </c>
      <c r="D27" s="2">
        <v>45684</v>
      </c>
      <c r="E27" t="s">
        <v>38</v>
      </c>
      <c r="F27" t="s">
        <v>63</v>
      </c>
      <c r="G27" t="s">
        <v>69</v>
      </c>
      <c r="H27" t="s">
        <v>73</v>
      </c>
      <c r="I27" t="s">
        <v>76</v>
      </c>
      <c r="J27" t="s">
        <v>83</v>
      </c>
      <c r="K27" t="s">
        <v>89</v>
      </c>
      <c r="L27">
        <v>18.86</v>
      </c>
      <c r="M27">
        <v>0.99</v>
      </c>
    </row>
    <row r="28" spans="1:13" x14ac:dyDescent="0.3">
      <c r="A28" s="3">
        <v>430316369</v>
      </c>
      <c r="B28" t="str">
        <f t="shared" ca="1" si="0"/>
        <v>U502145920</v>
      </c>
      <c r="C28">
        <v>4387.92</v>
      </c>
      <c r="D28" s="2">
        <v>45673</v>
      </c>
      <c r="E28" t="s">
        <v>39</v>
      </c>
      <c r="F28" t="s">
        <v>65</v>
      </c>
      <c r="G28" t="s">
        <v>68</v>
      </c>
      <c r="H28" t="s">
        <v>74</v>
      </c>
      <c r="I28" t="s">
        <v>76</v>
      </c>
      <c r="J28" t="s">
        <v>83</v>
      </c>
      <c r="K28" t="s">
        <v>88</v>
      </c>
      <c r="L28">
        <v>0</v>
      </c>
      <c r="M28">
        <v>4.7699999999999996</v>
      </c>
    </row>
    <row r="29" spans="1:13" x14ac:dyDescent="0.3">
      <c r="A29" s="3">
        <v>430316926</v>
      </c>
      <c r="B29" t="str">
        <f t="shared" ca="1" si="0"/>
        <v>U247158284</v>
      </c>
      <c r="C29">
        <v>793.78</v>
      </c>
      <c r="D29" s="2">
        <v>45706</v>
      </c>
      <c r="E29" t="s">
        <v>40</v>
      </c>
      <c r="F29" t="s">
        <v>65</v>
      </c>
      <c r="G29" t="s">
        <v>69</v>
      </c>
      <c r="H29" t="s">
        <v>73</v>
      </c>
      <c r="I29" t="s">
        <v>77</v>
      </c>
      <c r="J29" t="s">
        <v>78</v>
      </c>
      <c r="K29" t="s">
        <v>90</v>
      </c>
      <c r="L29">
        <v>0</v>
      </c>
      <c r="M29">
        <v>3.96</v>
      </c>
    </row>
    <row r="30" spans="1:13" x14ac:dyDescent="0.3">
      <c r="A30" s="3">
        <v>430316992</v>
      </c>
      <c r="B30" t="str">
        <f t="shared" ca="1" si="0"/>
        <v>U350969686</v>
      </c>
      <c r="C30">
        <v>4950.42</v>
      </c>
      <c r="D30" s="2">
        <v>45673</v>
      </c>
      <c r="E30" t="s">
        <v>41</v>
      </c>
      <c r="F30" t="s">
        <v>65</v>
      </c>
      <c r="G30" t="s">
        <v>66</v>
      </c>
      <c r="H30" t="s">
        <v>73</v>
      </c>
      <c r="I30" t="s">
        <v>77</v>
      </c>
      <c r="J30" t="s">
        <v>78</v>
      </c>
      <c r="K30" t="s">
        <v>90</v>
      </c>
      <c r="L30">
        <v>0</v>
      </c>
      <c r="M30">
        <v>0.75</v>
      </c>
    </row>
    <row r="31" spans="1:13" x14ac:dyDescent="0.3">
      <c r="A31" s="3">
        <v>430316641</v>
      </c>
      <c r="B31" t="str">
        <f t="shared" ca="1" si="0"/>
        <v>U522214367</v>
      </c>
      <c r="C31">
        <v>4898.9799999999996</v>
      </c>
      <c r="D31" s="2">
        <v>45677</v>
      </c>
      <c r="E31" t="s">
        <v>42</v>
      </c>
      <c r="F31" t="s">
        <v>64</v>
      </c>
      <c r="G31" t="s">
        <v>69</v>
      </c>
      <c r="H31" t="s">
        <v>73</v>
      </c>
      <c r="I31" t="s">
        <v>76</v>
      </c>
      <c r="J31" t="s">
        <v>80</v>
      </c>
      <c r="K31" t="s">
        <v>87</v>
      </c>
      <c r="L31">
        <v>0</v>
      </c>
      <c r="M31">
        <v>1.65</v>
      </c>
    </row>
    <row r="32" spans="1:13" x14ac:dyDescent="0.3">
      <c r="A32" s="3">
        <v>430317384</v>
      </c>
      <c r="B32" t="str">
        <f t="shared" ca="1" si="0"/>
        <v>U280299461</v>
      </c>
      <c r="C32">
        <v>3900.73</v>
      </c>
      <c r="D32" s="2">
        <v>45696</v>
      </c>
      <c r="E32" t="s">
        <v>43</v>
      </c>
      <c r="F32" t="s">
        <v>65</v>
      </c>
      <c r="G32" t="s">
        <v>68</v>
      </c>
      <c r="H32" t="s">
        <v>75</v>
      </c>
      <c r="I32" t="s">
        <v>76</v>
      </c>
      <c r="J32" t="s">
        <v>81</v>
      </c>
      <c r="K32" t="s">
        <v>87</v>
      </c>
      <c r="L32">
        <v>0</v>
      </c>
      <c r="M32">
        <v>0.71</v>
      </c>
    </row>
    <row r="33" spans="1:13" x14ac:dyDescent="0.3">
      <c r="A33" s="3">
        <v>430316360</v>
      </c>
      <c r="B33" t="str">
        <f t="shared" ca="1" si="0"/>
        <v>U476838569</v>
      </c>
      <c r="C33">
        <v>2071.89</v>
      </c>
      <c r="D33" s="2">
        <v>45671</v>
      </c>
      <c r="E33" t="s">
        <v>44</v>
      </c>
      <c r="F33" t="s">
        <v>63</v>
      </c>
      <c r="G33" t="s">
        <v>69</v>
      </c>
      <c r="H33" t="s">
        <v>72</v>
      </c>
      <c r="I33" t="s">
        <v>76</v>
      </c>
      <c r="J33" t="s">
        <v>80</v>
      </c>
      <c r="K33" t="s">
        <v>89</v>
      </c>
      <c r="L33">
        <v>32.76</v>
      </c>
      <c r="M33">
        <v>1.95</v>
      </c>
    </row>
    <row r="34" spans="1:13" x14ac:dyDescent="0.3">
      <c r="A34" s="3">
        <v>430316378</v>
      </c>
      <c r="B34" t="str">
        <f t="shared" ca="1" si="0"/>
        <v>U575792516</v>
      </c>
      <c r="C34">
        <v>3000.18</v>
      </c>
      <c r="D34" s="2">
        <v>45665</v>
      </c>
      <c r="E34" t="s">
        <v>45</v>
      </c>
      <c r="F34" t="s">
        <v>64</v>
      </c>
      <c r="G34" t="s">
        <v>66</v>
      </c>
      <c r="H34" t="s">
        <v>73</v>
      </c>
      <c r="I34" t="s">
        <v>76</v>
      </c>
      <c r="J34" t="s">
        <v>80</v>
      </c>
      <c r="K34" t="s">
        <v>87</v>
      </c>
      <c r="L34">
        <v>0</v>
      </c>
      <c r="M34">
        <v>3.69</v>
      </c>
    </row>
    <row r="35" spans="1:13" x14ac:dyDescent="0.3">
      <c r="A35" s="3">
        <v>430316298</v>
      </c>
      <c r="B35" t="str">
        <f t="shared" ca="1" si="0"/>
        <v>U155834706</v>
      </c>
      <c r="C35">
        <v>1434.36</v>
      </c>
      <c r="D35" s="2">
        <v>45693</v>
      </c>
      <c r="E35" t="s">
        <v>46</v>
      </c>
      <c r="F35" t="s">
        <v>64</v>
      </c>
      <c r="G35" t="s">
        <v>69</v>
      </c>
      <c r="H35" t="s">
        <v>74</v>
      </c>
      <c r="I35" t="s">
        <v>76</v>
      </c>
      <c r="J35" t="s">
        <v>78</v>
      </c>
      <c r="K35" t="s">
        <v>89</v>
      </c>
      <c r="L35">
        <v>0</v>
      </c>
      <c r="M35">
        <v>3.13</v>
      </c>
    </row>
    <row r="36" spans="1:13" x14ac:dyDescent="0.3">
      <c r="A36" s="3">
        <v>430316149</v>
      </c>
      <c r="B36" t="str">
        <f t="shared" ca="1" si="0"/>
        <v>U974916778</v>
      </c>
      <c r="C36">
        <v>4481.87</v>
      </c>
      <c r="D36" s="2">
        <v>45664</v>
      </c>
      <c r="E36" t="s">
        <v>47</v>
      </c>
      <c r="F36" t="s">
        <v>65</v>
      </c>
      <c r="G36" t="s">
        <v>68</v>
      </c>
      <c r="H36" t="s">
        <v>71</v>
      </c>
      <c r="I36" t="s">
        <v>76</v>
      </c>
      <c r="J36" t="s">
        <v>83</v>
      </c>
      <c r="K36" t="s">
        <v>88</v>
      </c>
      <c r="L36">
        <v>0</v>
      </c>
      <c r="M36">
        <v>3.32</v>
      </c>
    </row>
    <row r="37" spans="1:13" x14ac:dyDescent="0.3">
      <c r="A37" s="3">
        <v>430317456</v>
      </c>
      <c r="B37" t="str">
        <f t="shared" ca="1" si="0"/>
        <v>U889754596</v>
      </c>
      <c r="C37">
        <v>597.4</v>
      </c>
      <c r="D37" s="2">
        <v>45660</v>
      </c>
      <c r="E37" t="s">
        <v>48</v>
      </c>
      <c r="F37" t="s">
        <v>64</v>
      </c>
      <c r="G37" t="s">
        <v>69</v>
      </c>
      <c r="H37" t="s">
        <v>71</v>
      </c>
      <c r="I37" t="s">
        <v>76</v>
      </c>
      <c r="J37" t="s">
        <v>80</v>
      </c>
      <c r="K37" t="s">
        <v>90</v>
      </c>
      <c r="L37">
        <v>0</v>
      </c>
      <c r="M37">
        <v>2.63</v>
      </c>
    </row>
    <row r="38" spans="1:13" x14ac:dyDescent="0.3">
      <c r="A38" s="3">
        <v>430316538</v>
      </c>
      <c r="B38" t="str">
        <f t="shared" ca="1" si="0"/>
        <v>U899619703</v>
      </c>
      <c r="C38">
        <v>3499.17</v>
      </c>
      <c r="D38" s="2">
        <v>45706</v>
      </c>
      <c r="E38" t="s">
        <v>49</v>
      </c>
      <c r="F38" t="s">
        <v>65</v>
      </c>
      <c r="G38" t="s">
        <v>69</v>
      </c>
      <c r="H38" t="s">
        <v>74</v>
      </c>
      <c r="I38" t="s">
        <v>77</v>
      </c>
      <c r="J38" t="s">
        <v>79</v>
      </c>
      <c r="K38" t="s">
        <v>87</v>
      </c>
      <c r="L38">
        <v>0</v>
      </c>
      <c r="M38">
        <v>4.2300000000000004</v>
      </c>
    </row>
    <row r="39" spans="1:13" x14ac:dyDescent="0.3">
      <c r="A39" s="3">
        <v>430316608</v>
      </c>
      <c r="B39" t="str">
        <f t="shared" ca="1" si="0"/>
        <v>U114782723</v>
      </c>
      <c r="C39">
        <v>813.99</v>
      </c>
      <c r="D39" s="2">
        <v>45666</v>
      </c>
      <c r="E39" t="s">
        <v>50</v>
      </c>
      <c r="F39" t="s">
        <v>63</v>
      </c>
      <c r="G39" t="s">
        <v>69</v>
      </c>
      <c r="H39" t="s">
        <v>75</v>
      </c>
      <c r="I39" t="s">
        <v>76</v>
      </c>
      <c r="J39" t="s">
        <v>81</v>
      </c>
      <c r="K39" t="s">
        <v>88</v>
      </c>
      <c r="L39">
        <v>18.739999999999998</v>
      </c>
      <c r="M39">
        <v>1.89</v>
      </c>
    </row>
    <row r="40" spans="1:13" x14ac:dyDescent="0.3">
      <c r="A40" s="3">
        <v>430317414</v>
      </c>
      <c r="B40" t="str">
        <f t="shared" ca="1" si="0"/>
        <v>U584297998</v>
      </c>
      <c r="C40">
        <v>1927.73</v>
      </c>
      <c r="D40" s="2">
        <v>45711</v>
      </c>
      <c r="E40" t="s">
        <v>51</v>
      </c>
      <c r="F40" t="s">
        <v>65</v>
      </c>
      <c r="G40" t="s">
        <v>68</v>
      </c>
      <c r="H40" t="s">
        <v>71</v>
      </c>
      <c r="I40" t="s">
        <v>76</v>
      </c>
      <c r="J40" t="s">
        <v>81</v>
      </c>
      <c r="K40" t="s">
        <v>88</v>
      </c>
      <c r="L40">
        <v>0</v>
      </c>
      <c r="M40">
        <v>1.1299999999999999</v>
      </c>
    </row>
    <row r="41" spans="1:13" x14ac:dyDescent="0.3">
      <c r="A41" s="3">
        <v>430316029</v>
      </c>
      <c r="B41" t="str">
        <f t="shared" ca="1" si="0"/>
        <v>U160227498</v>
      </c>
      <c r="C41">
        <v>3201.34</v>
      </c>
      <c r="D41" s="2">
        <v>45723</v>
      </c>
      <c r="E41" t="s">
        <v>52</v>
      </c>
      <c r="F41" t="s">
        <v>63</v>
      </c>
      <c r="G41" t="s">
        <v>67</v>
      </c>
      <c r="H41" t="s">
        <v>70</v>
      </c>
      <c r="I41" t="s">
        <v>76</v>
      </c>
      <c r="J41" t="s">
        <v>80</v>
      </c>
      <c r="K41" t="s">
        <v>86</v>
      </c>
      <c r="L41">
        <v>129.36000000000001</v>
      </c>
      <c r="M41">
        <v>4.2699999999999996</v>
      </c>
    </row>
    <row r="42" spans="1:13" x14ac:dyDescent="0.3">
      <c r="A42" s="3">
        <v>430316827</v>
      </c>
      <c r="B42" t="str">
        <f ca="1">"U"&amp;RANDBETWEEN(100000000,999999999)</f>
        <v>U785265116</v>
      </c>
      <c r="C42">
        <v>1158</v>
      </c>
      <c r="D42" s="2">
        <v>45710</v>
      </c>
      <c r="E42" t="s">
        <v>53</v>
      </c>
      <c r="F42" t="s">
        <v>65</v>
      </c>
      <c r="G42" t="s">
        <v>67</v>
      </c>
      <c r="H42" t="s">
        <v>71</v>
      </c>
      <c r="I42" t="s">
        <v>77</v>
      </c>
      <c r="J42" t="s">
        <v>83</v>
      </c>
      <c r="K42" t="s">
        <v>85</v>
      </c>
      <c r="L42">
        <v>0</v>
      </c>
      <c r="M42">
        <v>4.26</v>
      </c>
    </row>
    <row r="43" spans="1:13" x14ac:dyDescent="0.3">
      <c r="A43" s="3">
        <v>430316361</v>
      </c>
      <c r="B43" t="str">
        <f t="shared" ca="1" si="0"/>
        <v>U955698997</v>
      </c>
      <c r="C43">
        <v>4222.57</v>
      </c>
      <c r="D43" s="2">
        <v>45704</v>
      </c>
      <c r="E43" t="s">
        <v>54</v>
      </c>
      <c r="F43" t="s">
        <v>64</v>
      </c>
      <c r="G43" t="s">
        <v>67</v>
      </c>
      <c r="H43" t="s">
        <v>71</v>
      </c>
      <c r="I43" t="s">
        <v>77</v>
      </c>
      <c r="J43" t="s">
        <v>79</v>
      </c>
      <c r="K43" t="s">
        <v>87</v>
      </c>
      <c r="L43">
        <v>0</v>
      </c>
      <c r="M43">
        <v>3.24</v>
      </c>
    </row>
    <row r="44" spans="1:13" x14ac:dyDescent="0.3">
      <c r="A44" s="3">
        <v>430316103</v>
      </c>
      <c r="B44" t="str">
        <f t="shared" ca="1" si="0"/>
        <v>U518276248</v>
      </c>
      <c r="C44">
        <v>3480.72</v>
      </c>
      <c r="D44" s="2">
        <v>45743</v>
      </c>
      <c r="E44" t="s">
        <v>55</v>
      </c>
      <c r="F44" t="s">
        <v>63</v>
      </c>
      <c r="G44" t="s">
        <v>66</v>
      </c>
      <c r="H44" t="s">
        <v>70</v>
      </c>
      <c r="I44" t="s">
        <v>77</v>
      </c>
      <c r="J44" t="s">
        <v>78</v>
      </c>
      <c r="K44" t="s">
        <v>85</v>
      </c>
      <c r="L44">
        <v>140.47999999999999</v>
      </c>
      <c r="M44">
        <v>4.2300000000000004</v>
      </c>
    </row>
    <row r="45" spans="1:13" x14ac:dyDescent="0.3">
      <c r="A45" s="3">
        <v>430317311</v>
      </c>
      <c r="B45" t="str">
        <f t="shared" ca="1" si="0"/>
        <v>U927392706</v>
      </c>
      <c r="C45">
        <v>2410.1999999999998</v>
      </c>
      <c r="D45" s="2">
        <v>45664</v>
      </c>
      <c r="E45" t="s">
        <v>56</v>
      </c>
      <c r="F45" t="s">
        <v>65</v>
      </c>
      <c r="G45" t="s">
        <v>66</v>
      </c>
      <c r="H45" t="s">
        <v>70</v>
      </c>
      <c r="I45" t="s">
        <v>77</v>
      </c>
      <c r="J45" t="s">
        <v>82</v>
      </c>
      <c r="K45" t="s">
        <v>87</v>
      </c>
      <c r="L45">
        <v>0</v>
      </c>
      <c r="M45">
        <v>0.84</v>
      </c>
    </row>
    <row r="46" spans="1:13" x14ac:dyDescent="0.3">
      <c r="A46" s="3">
        <v>430317216</v>
      </c>
      <c r="B46" t="str">
        <f t="shared" ca="1" si="0"/>
        <v>U523590778</v>
      </c>
      <c r="C46">
        <v>412.63</v>
      </c>
      <c r="D46" s="2">
        <v>45669</v>
      </c>
      <c r="E46" t="s">
        <v>57</v>
      </c>
      <c r="F46" t="s">
        <v>65</v>
      </c>
      <c r="G46" t="s">
        <v>66</v>
      </c>
      <c r="H46" t="s">
        <v>72</v>
      </c>
      <c r="I46" t="s">
        <v>77</v>
      </c>
      <c r="J46" t="s">
        <v>80</v>
      </c>
      <c r="K46" t="s">
        <v>90</v>
      </c>
      <c r="L46">
        <v>0</v>
      </c>
      <c r="M46">
        <v>2.82</v>
      </c>
    </row>
    <row r="47" spans="1:13" x14ac:dyDescent="0.3">
      <c r="A47" s="3">
        <v>430316155</v>
      </c>
      <c r="B47" t="str">
        <f t="shared" ca="1" si="0"/>
        <v>U677100807</v>
      </c>
      <c r="C47">
        <v>4965.1000000000004</v>
      </c>
      <c r="D47" s="2">
        <v>45699</v>
      </c>
      <c r="E47" t="s">
        <v>58</v>
      </c>
      <c r="F47" t="s">
        <v>65</v>
      </c>
      <c r="G47" t="s">
        <v>66</v>
      </c>
      <c r="H47" t="s">
        <v>73</v>
      </c>
      <c r="I47" t="s">
        <v>76</v>
      </c>
      <c r="J47" t="s">
        <v>80</v>
      </c>
      <c r="K47" t="s">
        <v>88</v>
      </c>
      <c r="L47">
        <v>0</v>
      </c>
      <c r="M47">
        <v>3.51</v>
      </c>
    </row>
    <row r="48" spans="1:13" x14ac:dyDescent="0.3">
      <c r="A48" s="3">
        <v>430316234</v>
      </c>
      <c r="B48" t="str">
        <f t="shared" ca="1" si="0"/>
        <v>U139422898</v>
      </c>
      <c r="C48">
        <v>859.53</v>
      </c>
      <c r="D48" s="2">
        <v>45717</v>
      </c>
      <c r="E48" t="s">
        <v>59</v>
      </c>
      <c r="F48" t="s">
        <v>63</v>
      </c>
      <c r="G48" t="s">
        <v>67</v>
      </c>
      <c r="H48" t="s">
        <v>72</v>
      </c>
      <c r="I48" t="s">
        <v>76</v>
      </c>
      <c r="J48" t="s">
        <v>81</v>
      </c>
      <c r="K48" t="s">
        <v>89</v>
      </c>
      <c r="L48">
        <v>16.809999999999999</v>
      </c>
      <c r="M48">
        <v>0.7</v>
      </c>
    </row>
    <row r="49" spans="1:13" x14ac:dyDescent="0.3">
      <c r="A49" s="3">
        <v>430318567</v>
      </c>
      <c r="B49" t="str">
        <f t="shared" ca="1" si="0"/>
        <v>U292880861</v>
      </c>
      <c r="C49">
        <v>1141.21</v>
      </c>
      <c r="D49" s="2">
        <v>45694</v>
      </c>
      <c r="E49" t="s">
        <v>60</v>
      </c>
      <c r="F49" t="s">
        <v>65</v>
      </c>
      <c r="G49" t="s">
        <v>68</v>
      </c>
      <c r="H49" t="s">
        <v>74</v>
      </c>
      <c r="I49" t="s">
        <v>76</v>
      </c>
      <c r="J49" t="s">
        <v>78</v>
      </c>
      <c r="K49" t="s">
        <v>89</v>
      </c>
      <c r="L49">
        <v>0</v>
      </c>
      <c r="M49">
        <v>1.41</v>
      </c>
    </row>
    <row r="50" spans="1:13" x14ac:dyDescent="0.3">
      <c r="A50" s="3">
        <v>430315196</v>
      </c>
      <c r="B50" t="str">
        <f t="shared" ca="1" si="0"/>
        <v>U745091098</v>
      </c>
      <c r="C50">
        <v>861.06</v>
      </c>
      <c r="D50" s="2">
        <v>45703</v>
      </c>
      <c r="E50" t="s">
        <v>61</v>
      </c>
      <c r="F50" t="s">
        <v>65</v>
      </c>
      <c r="G50" t="s">
        <v>69</v>
      </c>
      <c r="H50" t="s">
        <v>74</v>
      </c>
      <c r="I50" t="s">
        <v>77</v>
      </c>
      <c r="J50" t="s">
        <v>79</v>
      </c>
      <c r="K50" t="s">
        <v>87</v>
      </c>
      <c r="L50">
        <v>0</v>
      </c>
      <c r="M50">
        <v>4.46</v>
      </c>
    </row>
    <row r="51" spans="1:13" x14ac:dyDescent="0.3">
      <c r="A51" s="3">
        <v>430316037</v>
      </c>
      <c r="B51" t="str">
        <f t="shared" ca="1" si="0"/>
        <v>U813506602</v>
      </c>
      <c r="C51">
        <v>3160.85</v>
      </c>
      <c r="D51" s="2">
        <v>45717</v>
      </c>
      <c r="E51" t="s">
        <v>62</v>
      </c>
      <c r="F51" t="s">
        <v>64</v>
      </c>
      <c r="G51" t="s">
        <v>66</v>
      </c>
      <c r="H51" t="s">
        <v>75</v>
      </c>
      <c r="I51" t="s">
        <v>77</v>
      </c>
      <c r="J51" t="s">
        <v>80</v>
      </c>
      <c r="K51" t="s">
        <v>86</v>
      </c>
      <c r="L51">
        <v>0</v>
      </c>
      <c r="M51">
        <v>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18.109375" customWidth="1"/>
    <col min="2" max="2" width="33.6640625" customWidth="1"/>
  </cols>
  <sheetData>
    <row r="1" spans="1:2" x14ac:dyDescent="0.3">
      <c r="A1" s="1" t="s">
        <v>91</v>
      </c>
      <c r="B1" s="1" t="s">
        <v>92</v>
      </c>
    </row>
    <row r="2" spans="1:2" x14ac:dyDescent="0.3">
      <c r="A2" t="s">
        <v>0</v>
      </c>
      <c r="B2" t="s">
        <v>93</v>
      </c>
    </row>
    <row r="3" spans="1:2" x14ac:dyDescent="0.3">
      <c r="A3" t="s">
        <v>1</v>
      </c>
      <c r="B3" t="s">
        <v>94</v>
      </c>
    </row>
    <row r="4" spans="1:2" x14ac:dyDescent="0.3">
      <c r="A4" t="s">
        <v>2</v>
      </c>
      <c r="B4" t="s">
        <v>95</v>
      </c>
    </row>
    <row r="5" spans="1:2" x14ac:dyDescent="0.3">
      <c r="A5" t="s">
        <v>3</v>
      </c>
      <c r="B5" t="s">
        <v>96</v>
      </c>
    </row>
    <row r="6" spans="1:2" x14ac:dyDescent="0.3">
      <c r="A6" t="s">
        <v>4</v>
      </c>
      <c r="B6" t="s">
        <v>97</v>
      </c>
    </row>
    <row r="7" spans="1:2" x14ac:dyDescent="0.3">
      <c r="A7" t="s">
        <v>5</v>
      </c>
      <c r="B7" t="s">
        <v>98</v>
      </c>
    </row>
    <row r="8" spans="1:2" x14ac:dyDescent="0.3">
      <c r="A8" t="s">
        <v>6</v>
      </c>
      <c r="B8" t="s">
        <v>99</v>
      </c>
    </row>
    <row r="9" spans="1:2" x14ac:dyDescent="0.3">
      <c r="A9" t="s">
        <v>7</v>
      </c>
      <c r="B9" t="s">
        <v>100</v>
      </c>
    </row>
    <row r="10" spans="1:2" x14ac:dyDescent="0.3">
      <c r="A10" t="s">
        <v>8</v>
      </c>
      <c r="B10" t="s">
        <v>101</v>
      </c>
    </row>
    <row r="11" spans="1:2" x14ac:dyDescent="0.3">
      <c r="A11" t="s">
        <v>9</v>
      </c>
      <c r="B11" t="s">
        <v>102</v>
      </c>
    </row>
    <row r="12" spans="1:2" x14ac:dyDescent="0.3">
      <c r="A12" t="s">
        <v>10</v>
      </c>
      <c r="B12" t="s">
        <v>103</v>
      </c>
    </row>
    <row r="13" spans="1:2" x14ac:dyDescent="0.3">
      <c r="A13" t="s">
        <v>11</v>
      </c>
      <c r="B13" t="s">
        <v>104</v>
      </c>
    </row>
    <row r="14" spans="1:2" x14ac:dyDescent="0.3">
      <c r="A14" t="s">
        <v>12</v>
      </c>
      <c r="B1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B2" sqref="B2"/>
    </sheetView>
  </sheetViews>
  <sheetFormatPr defaultRowHeight="14.4" x14ac:dyDescent="0.3"/>
  <cols>
    <col min="1" max="1" width="17.5546875" customWidth="1"/>
    <col min="2" max="2" width="51.109375" customWidth="1"/>
    <col min="3" max="3" width="62" customWidth="1"/>
  </cols>
  <sheetData>
    <row r="1" spans="1:3" x14ac:dyDescent="0.3">
      <c r="A1" s="1" t="s">
        <v>91</v>
      </c>
      <c r="B1" s="1" t="s">
        <v>106</v>
      </c>
      <c r="C1" s="1" t="s">
        <v>107</v>
      </c>
    </row>
    <row r="2" spans="1:3" x14ac:dyDescent="0.3">
      <c r="A2" t="s">
        <v>0</v>
      </c>
      <c r="B2" t="s">
        <v>108</v>
      </c>
      <c r="C2" t="s">
        <v>121</v>
      </c>
    </row>
    <row r="3" spans="1:3" x14ac:dyDescent="0.3">
      <c r="A3" t="s">
        <v>1</v>
      </c>
      <c r="B3" t="s">
        <v>109</v>
      </c>
      <c r="C3" t="s">
        <v>122</v>
      </c>
    </row>
    <row r="4" spans="1:3" x14ac:dyDescent="0.3">
      <c r="A4" t="s">
        <v>2</v>
      </c>
      <c r="B4" t="s">
        <v>110</v>
      </c>
      <c r="C4" t="s">
        <v>123</v>
      </c>
    </row>
    <row r="5" spans="1:3" x14ac:dyDescent="0.3">
      <c r="A5" t="s">
        <v>3</v>
      </c>
      <c r="B5" t="s">
        <v>111</v>
      </c>
      <c r="C5" t="s">
        <v>124</v>
      </c>
    </row>
    <row r="6" spans="1:3" x14ac:dyDescent="0.3">
      <c r="A6" t="s">
        <v>4</v>
      </c>
      <c r="B6" t="s">
        <v>112</v>
      </c>
      <c r="C6" t="s">
        <v>125</v>
      </c>
    </row>
    <row r="7" spans="1:3" x14ac:dyDescent="0.3">
      <c r="A7" t="s">
        <v>5</v>
      </c>
      <c r="B7" t="s">
        <v>113</v>
      </c>
      <c r="C7" t="s">
        <v>126</v>
      </c>
    </row>
    <row r="8" spans="1:3" x14ac:dyDescent="0.3">
      <c r="A8" t="s">
        <v>6</v>
      </c>
      <c r="B8" t="s">
        <v>114</v>
      </c>
      <c r="C8" t="s">
        <v>127</v>
      </c>
    </row>
    <row r="9" spans="1:3" x14ac:dyDescent="0.3">
      <c r="A9" t="s">
        <v>7</v>
      </c>
      <c r="B9" t="s">
        <v>115</v>
      </c>
      <c r="C9" t="s">
        <v>128</v>
      </c>
    </row>
    <row r="10" spans="1:3" x14ac:dyDescent="0.3">
      <c r="A10" t="s">
        <v>8</v>
      </c>
      <c r="B10" t="s">
        <v>116</v>
      </c>
      <c r="C10" t="s">
        <v>129</v>
      </c>
    </row>
    <row r="11" spans="1:3" x14ac:dyDescent="0.3">
      <c r="A11" t="s">
        <v>9</v>
      </c>
      <c r="B11" t="s">
        <v>117</v>
      </c>
      <c r="C11" t="s">
        <v>130</v>
      </c>
    </row>
    <row r="12" spans="1:3" x14ac:dyDescent="0.3">
      <c r="A12" t="s">
        <v>10</v>
      </c>
      <c r="B12" t="s">
        <v>118</v>
      </c>
      <c r="C12" t="s">
        <v>131</v>
      </c>
    </row>
    <row r="13" spans="1:3" x14ac:dyDescent="0.3">
      <c r="A13" t="s">
        <v>11</v>
      </c>
      <c r="B13" t="s">
        <v>119</v>
      </c>
      <c r="C13" t="s">
        <v>132</v>
      </c>
    </row>
    <row r="14" spans="1:3" x14ac:dyDescent="0.3">
      <c r="A14" t="s">
        <v>12</v>
      </c>
      <c r="B14" t="s">
        <v>120</v>
      </c>
      <c r="C1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Definitions</vt:lpstr>
      <vt:lpstr>Errors_Recommendations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Khare</dc:creator>
  <cp:lastModifiedBy>Harshita Khare</cp:lastModifiedBy>
  <dcterms:created xsi:type="dcterms:W3CDTF">2025-10-05T17:30:27Z</dcterms:created>
  <dcterms:modified xsi:type="dcterms:W3CDTF">2025-10-05T17:57:42Z</dcterms:modified>
</cp:coreProperties>
</file>